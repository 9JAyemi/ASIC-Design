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comments+xml" PartName="/xl/comments/comment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mparison" sheetId="1" state="visible" r:id="rId1"/>
    <sheet name="SVT20" sheetId="2" state="visible" r:id="rId2"/>
    <sheet name="LVT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formatCode="0.000" numFmtId="164"/>
    <numFmt formatCode="0.00&quot;x&quot;" numFmtId="165"/>
    <numFmt formatCode="0.0000" numFmtId="166"/>
    <numFmt formatCode="0.000E+00" numFmtId="167"/>
    <numFmt formatCode="0.0%" numFmtId="168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4EE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borderId="0" fillId="0" fontId="0" numFmtId="0"/>
  </cellStyleXfs>
  <cellXfs count="2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1" fillId="3" fontId="3" numFmtId="0" pivotButton="0" quotePrefix="0" xfId="0">
      <alignment horizontal="center" vertical="center" wrapText="1"/>
    </xf>
    <xf borderId="1" fillId="0" fontId="3" numFmtId="0" pivotButton="0" quotePrefix="0" xfId="0"/>
    <xf borderId="1" fillId="0" fontId="6" numFmtId="164" pivotButton="0" quotePrefix="0" xfId="0"/>
    <xf borderId="1" fillId="0" fontId="6" numFmtId="2" pivotButton="0" quotePrefix="0" xfId="0"/>
    <xf borderId="1" fillId="0" fontId="6" numFmtId="166" pivotButton="0" quotePrefix="0" xfId="0"/>
    <xf borderId="1" fillId="0" fontId="6" numFmtId="165" pivotButton="0" quotePrefix="0" xfId="0"/>
    <xf borderId="1" fillId="0" fontId="6" numFmtId="168" pivotButton="0" quotePrefix="0" xfId="0"/>
    <xf borderId="1" fillId="0" fontId="5" numFmtId="165" pivotButton="0" quotePrefix="0" xfId="0"/>
    <xf borderId="0" fillId="0" fontId="3" numFmtId="0" pivotButton="0" quotePrefix="0" xfId="0"/>
    <xf borderId="0" fillId="2" fontId="4" numFmtId="164" pivotButton="0" quotePrefix="0" xfId="0"/>
    <xf borderId="0" fillId="0" fontId="5" numFmtId="2" pivotButton="0" quotePrefix="0" xfId="0"/>
    <xf borderId="1" fillId="0" fontId="4" numFmtId="166" pivotButton="0" quotePrefix="0" xfId="0"/>
    <xf borderId="1" fillId="0" fontId="4" numFmtId="2" pivotButton="0" quotePrefix="0" xfId="0"/>
    <xf borderId="1" fillId="0" fontId="4" numFmtId="167" pivotButton="0" quotePrefix="0" xfId="0"/>
    <xf borderId="1" fillId="0" fontId="4" numFmtId="11" pivotButton="0" quotePrefix="0" xfId="0"/>
    <xf borderId="1" fillId="0" fontId="5" numFmtId="166" pivotButton="0" quotePrefix="0" xfId="0"/>
    <xf borderId="1" fillId="0" fontId="5" numFmtId="167" pivotButton="0" quotePrefix="0" xfId="0"/>
    <xf borderId="1" fillId="0" fontId="5" numFmtId="168" pivotButton="0" quotePrefix="0" xfId="0"/>
    <xf borderId="0" fillId="0" fontId="5" numFmtId="166" pivotButton="0" quotePrefix="0" xfId="0"/>
    <xf borderId="0" fillId="0" fontId="5" numFmtId="165" pivotButton="0" quotePrefix="0" xfId="0"/>
  </cellXfs>
  <cellStyles count="1">
    <cellStyle builtinId="0" hidden="0" name="Normal" xfId="0"/>
  </cellStyles>
  <dxfs count="1">
    <dxf>
      <fill>
        <patternFill patternType="solid">
          <fgColor rgb="00C6EFCE"/>
        </patternFill>
      </fill>
    </dxf>
  </dxf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E_total vs clock period multiplier</a:t>
            </a:r>
          </a:p>
        </rich>
      </tx>
    </title>
    <plotArea>
      <scatterChart>
        <ser>
          <idx val="0"/>
          <order val="0"/>
          <tx>
            <strRef>
              <f>'Comparison'!C8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'Comparison'!$A$9:$A$24</f>
            </numRef>
          </xVal>
          <yVal>
            <numRef>
              <f>'Comparison'!$C$9:$C$24</f>
            </numRef>
          </yVal>
        </ser>
        <ser>
          <idx val="1"/>
          <order val="1"/>
          <tx>
            <strRef>
              <f>'Comparison'!F8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'Comparison'!$A$9:$A$24</f>
            </numRef>
          </xVal>
          <yVal>
            <numRef>
              <f>'Comparison'!$F$9:$F$24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Multiplier of clk_period_min (log scale)</a:t>
                </a:r>
              </a:p>
            </rich>
          </tx>
        </title>
        <numFmt formatCode="General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E_total (pJ)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SVT20: energy per cycle vs clock period</a:t>
            </a:r>
          </a:p>
        </rich>
      </tx>
    </title>
    <plotArea>
      <scatterChart>
        <ser>
          <idx val="0"/>
          <order val="0"/>
          <tx>
            <strRef>
              <f>'SVT20'!L7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'SVT20'!$B$8:$B$23</f>
            </numRef>
          </xVal>
          <yVal>
            <numRef>
              <f>'SVT20'!$L$8:$L$23</f>
            </numRef>
          </yVal>
        </ser>
        <ser>
          <idx val="1"/>
          <order val="1"/>
          <tx>
            <strRef>
              <f>'SVT20'!J7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'SVT20'!$B$8:$B$23</f>
            </numRef>
          </xVal>
          <yVal>
            <numRef>
              <f>'SVT20'!$J$8:$J$23</f>
            </numRef>
          </yVal>
        </ser>
        <ser>
          <idx val="2"/>
          <order val="2"/>
          <tx>
            <strRef>
              <f>'SVT20'!K7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'SVT20'!$B$8:$B$23</f>
            </numRef>
          </xVal>
          <yVal>
            <numRef>
              <f>'SVT20'!$K$8:$K$23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clk_period (ns, log scale)</a:t>
                </a:r>
              </a:p>
            </rich>
          </tx>
        </title>
        <numFmt formatCode="General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Energy (pJ)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LVT20: energy per cycle vs clock period</a:t>
            </a:r>
          </a:p>
        </rich>
      </tx>
    </title>
    <plotArea>
      <scatterChart>
        <ser>
          <idx val="0"/>
          <order val="0"/>
          <tx>
            <strRef>
              <f>'LVT20'!L7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'LVT20'!$B$8:$B$23</f>
            </numRef>
          </xVal>
          <yVal>
            <numRef>
              <f>'LVT20'!$L$8:$L$23</f>
            </numRef>
          </yVal>
        </ser>
        <ser>
          <idx val="1"/>
          <order val="1"/>
          <tx>
            <strRef>
              <f>'LVT20'!J7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'LVT20'!$B$8:$B$23</f>
            </numRef>
          </xVal>
          <yVal>
            <numRef>
              <f>'LVT20'!$J$8:$J$23</f>
            </numRef>
          </yVal>
        </ser>
        <ser>
          <idx val="2"/>
          <order val="2"/>
          <tx>
            <strRef>
              <f>'LVT20'!K7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'LVT20'!$B$8:$B$23</f>
            </numRef>
          </xVal>
          <yVal>
            <numRef>
              <f>'LVT20'!$K$8:$K$23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clk_period (ns, log scale)</a:t>
                </a:r>
              </a:p>
            </rich>
          </tx>
        </title>
        <numFmt formatCode="General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Energy (pJ)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lab2</author>
  </authors>
  <commentList>
    <comment authorId="0" ref="B4" shapeId="0">
      <text>
        <t>Smallest clock period with slack (MET), chosen from the sweep.</t>
      </text>
    </comment>
  </commentList>
</comments>
</file>

<file path=xl/comments/comment2.xml><?xml version="1.0" encoding="utf-8"?>
<comments xmlns="http://schemas.openxmlformats.org/spreadsheetml/2006/main">
  <authors>
    <author>lab2</author>
  </authors>
  <commentList>
    <comment authorId="0" ref="B4" shapeId="0">
      <text>
        <t>Smallest clock period with slack (MET), chosen from the sweep.</t>
      </text>
    </comment>
  </commentList>
</comments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_rels/drawing2.xml.rels><Relationships xmlns="http://schemas.openxmlformats.org/package/2006/relationships"><Relationship Id="rId1" Target="/xl/charts/chart2.xml" Type="http://schemas.openxmlformats.org/officeDocument/2006/relationships/chart" /></Relationships>
</file>

<file path=xl/drawings/_rels/drawing3.xml.rels><Relationships xmlns="http://schemas.openxmlformats.org/package/2006/relationships"><Relationship Id="rId1" Target="/xl/charts/chart3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6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6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_rels/sheet2.xml.rels><Relationships xmlns="http://schemas.openxmlformats.org/package/2006/relationships"><Relationship Id="rId1" Target="/xl/drawings/drawing2.xml" Type="http://schemas.openxmlformats.org/officeDocument/2006/relationships/drawing" /><Relationship Id="comments" Target="/xl/comments/comment1.xml" Type="http://schemas.openxmlformats.org/officeDocument/2006/relationships/comments" /><Relationship Id="anysvml" Target="/xl/drawings/commentsDrawing1.vml" Type="http://schemas.openxmlformats.org/officeDocument/2006/relationships/vmlDrawing" /></Relationships>
</file>

<file path=xl/worksheets/_rels/sheet3.xml.rels><Relationships xmlns="http://schemas.openxmlformats.org/package/2006/relationships"><Relationship Id="rId1" Target="/xl/drawings/drawing3.xml" Type="http://schemas.openxmlformats.org/officeDocument/2006/relationships/drawing" /><Relationship Id="comments" Target="/xl/comments/comment2.xml" Type="http://schemas.openxmlformats.org/officeDocument/2006/relationships/comments" /><Relationship Id="anysvml" Target="/xl/drawings/commentsDrawing2.vml" Type="http://schemas.openxmlformats.org/officeDocument/2006/relationships/vmlDrawing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1"/>
    <col customWidth="1" max="3" min="3" width="12"/>
    <col customWidth="1" max="4" min="4" width="11"/>
    <col customWidth="1" max="5" min="5" width="11"/>
    <col customWidth="1" max="6" min="6" width="12"/>
    <col customWidth="1" max="7" min="7" width="11"/>
    <col customWidth="1" max="8" min="8" width="12"/>
  </cols>
  <sheetData>
    <row r="1">
      <c r="A1" s="1" t="inlineStr">
        <is>
          <t>SVT20 vs LVT20 (mult, 16-bit multiplier)</t>
        </is>
      </c>
    </row>
    <row r="2">
      <c r="A2" s="2" t="inlineStr">
        <is>
          <t>Green = pulled from the SVT20 / LVT20 sheets. Black = formulas.</t>
        </is>
      </c>
    </row>
    <row r="3"/>
    <row customHeight="1" ht="30" r="4">
      <c r="A4" s="3" t="inlineStr">
        <is>
          <t>Group</t>
        </is>
      </c>
      <c r="B4" s="3" t="inlineStr">
        <is>
          <t>clk_period_min (ns)</t>
        </is>
      </c>
      <c r="C4" s="3" t="inlineStr">
        <is>
          <t>Fmax (GHz)</t>
        </is>
      </c>
      <c r="D4" s="3" t="inlineStr">
        <is>
          <t>Min E_total (pJ)</t>
        </is>
      </c>
      <c r="E4" s="3" t="inlineStr">
        <is>
          <t>at multiplier</t>
        </is>
      </c>
    </row>
    <row r="5">
      <c r="A5" s="4" t="inlineStr">
        <is>
          <t>SVT20</t>
        </is>
      </c>
      <c r="B5" s="5">
        <f>SVT20!B4</f>
        <v/>
      </c>
      <c r="C5" s="6">
        <f>SVT20!B5</f>
        <v/>
      </c>
      <c r="D5" s="7">
        <f>SVT20!B25</f>
        <v/>
      </c>
      <c r="E5" s="8">
        <f>SVT20!B27</f>
        <v/>
      </c>
    </row>
    <row r="6">
      <c r="A6" s="4" t="inlineStr">
        <is>
          <t>LVT20</t>
        </is>
      </c>
      <c r="B6" s="5">
        <f>LVT20!B4</f>
        <v/>
      </c>
      <c r="C6" s="6">
        <f>LVT20!B5</f>
        <v/>
      </c>
      <c r="D6" s="7">
        <f>LVT20!B25</f>
        <v/>
      </c>
      <c r="E6" s="8">
        <f>LVT20!B27</f>
        <v/>
      </c>
    </row>
    <row r="7"/>
    <row customHeight="1" ht="30" r="8">
      <c r="A8" s="3" t="inlineStr">
        <is>
          <t>Multiplier (x clk_min)</t>
        </is>
      </c>
      <c r="B8" s="3" t="inlineStr">
        <is>
          <t>SVT20 clk (ns)</t>
        </is>
      </c>
      <c r="C8" s="3" t="inlineStr">
        <is>
          <t>SVT20 E_total (pJ)</t>
        </is>
      </c>
      <c r="D8" s="3" t="inlineStr">
        <is>
          <t>SVT20 leak share</t>
        </is>
      </c>
      <c r="E8" s="3" t="inlineStr">
        <is>
          <t>LVT20 clk (ns)</t>
        </is>
      </c>
      <c r="F8" s="3" t="inlineStr">
        <is>
          <t>LVT20 E_total (pJ)</t>
        </is>
      </c>
      <c r="G8" s="3" t="inlineStr">
        <is>
          <t>LVT20 leak share</t>
        </is>
      </c>
      <c r="H8" s="3" t="inlineStr">
        <is>
          <t>LVT20 / SVT20 E_total</t>
        </is>
      </c>
    </row>
    <row r="9">
      <c r="A9" s="8">
        <f>SVT20!A8</f>
        <v/>
      </c>
      <c r="B9" s="7">
        <f>SVT20!B8</f>
        <v/>
      </c>
      <c r="C9" s="7">
        <f>SVT20!L8</f>
        <v/>
      </c>
      <c r="D9" s="9">
        <f>SVT20!M8</f>
        <v/>
      </c>
      <c r="E9" s="7">
        <f>LVT20!B8</f>
        <v/>
      </c>
      <c r="F9" s="7">
        <f>LVT20!L8</f>
        <v/>
      </c>
      <c r="G9" s="9">
        <f>LVT20!M8</f>
        <v/>
      </c>
      <c r="H9" s="10">
        <f>F9/C9</f>
        <v/>
      </c>
    </row>
    <row r="10">
      <c r="A10" s="8">
        <f>SVT20!A9</f>
        <v/>
      </c>
      <c r="B10" s="7">
        <f>SVT20!B9</f>
        <v/>
      </c>
      <c r="C10" s="7">
        <f>SVT20!L9</f>
        <v/>
      </c>
      <c r="D10" s="9">
        <f>SVT20!M9</f>
        <v/>
      </c>
      <c r="E10" s="7">
        <f>LVT20!B9</f>
        <v/>
      </c>
      <c r="F10" s="7">
        <f>LVT20!L9</f>
        <v/>
      </c>
      <c r="G10" s="9">
        <f>LVT20!M9</f>
        <v/>
      </c>
      <c r="H10" s="10">
        <f>F10/C10</f>
        <v/>
      </c>
    </row>
    <row r="11">
      <c r="A11" s="8">
        <f>SVT20!A10</f>
        <v/>
      </c>
      <c r="B11" s="7">
        <f>SVT20!B10</f>
        <v/>
      </c>
      <c r="C11" s="7">
        <f>SVT20!L10</f>
        <v/>
      </c>
      <c r="D11" s="9">
        <f>SVT20!M10</f>
        <v/>
      </c>
      <c r="E11" s="7">
        <f>LVT20!B10</f>
        <v/>
      </c>
      <c r="F11" s="7">
        <f>LVT20!L10</f>
        <v/>
      </c>
      <c r="G11" s="9">
        <f>LVT20!M10</f>
        <v/>
      </c>
      <c r="H11" s="10">
        <f>F11/C11</f>
        <v/>
      </c>
    </row>
    <row r="12">
      <c r="A12" s="8">
        <f>SVT20!A11</f>
        <v/>
      </c>
      <c r="B12" s="7">
        <f>SVT20!B11</f>
        <v/>
      </c>
      <c r="C12" s="7">
        <f>SVT20!L11</f>
        <v/>
      </c>
      <c r="D12" s="9">
        <f>SVT20!M11</f>
        <v/>
      </c>
      <c r="E12" s="7">
        <f>LVT20!B11</f>
        <v/>
      </c>
      <c r="F12" s="7">
        <f>LVT20!L11</f>
        <v/>
      </c>
      <c r="G12" s="9">
        <f>LVT20!M11</f>
        <v/>
      </c>
      <c r="H12" s="10">
        <f>F12/C12</f>
        <v/>
      </c>
    </row>
    <row r="13">
      <c r="A13" s="8">
        <f>SVT20!A12</f>
        <v/>
      </c>
      <c r="B13" s="7">
        <f>SVT20!B12</f>
        <v/>
      </c>
      <c r="C13" s="7">
        <f>SVT20!L12</f>
        <v/>
      </c>
      <c r="D13" s="9">
        <f>SVT20!M12</f>
        <v/>
      </c>
      <c r="E13" s="7">
        <f>LVT20!B12</f>
        <v/>
      </c>
      <c r="F13" s="7">
        <f>LVT20!L12</f>
        <v/>
      </c>
      <c r="G13" s="9">
        <f>LVT20!M12</f>
        <v/>
      </c>
      <c r="H13" s="10">
        <f>F13/C13</f>
        <v/>
      </c>
    </row>
    <row r="14">
      <c r="A14" s="8">
        <f>SVT20!A13</f>
        <v/>
      </c>
      <c r="B14" s="7">
        <f>SVT20!B13</f>
        <v/>
      </c>
      <c r="C14" s="7">
        <f>SVT20!L13</f>
        <v/>
      </c>
      <c r="D14" s="9">
        <f>SVT20!M13</f>
        <v/>
      </c>
      <c r="E14" s="7">
        <f>LVT20!B13</f>
        <v/>
      </c>
      <c r="F14" s="7">
        <f>LVT20!L13</f>
        <v/>
      </c>
      <c r="G14" s="9">
        <f>LVT20!M13</f>
        <v/>
      </c>
      <c r="H14" s="10">
        <f>F14/C14</f>
        <v/>
      </c>
    </row>
    <row r="15">
      <c r="A15" s="8">
        <f>SVT20!A14</f>
        <v/>
      </c>
      <c r="B15" s="7">
        <f>SVT20!B14</f>
        <v/>
      </c>
      <c r="C15" s="7">
        <f>SVT20!L14</f>
        <v/>
      </c>
      <c r="D15" s="9">
        <f>SVT20!M14</f>
        <v/>
      </c>
      <c r="E15" s="7">
        <f>LVT20!B14</f>
        <v/>
      </c>
      <c r="F15" s="7">
        <f>LVT20!L14</f>
        <v/>
      </c>
      <c r="G15" s="9">
        <f>LVT20!M14</f>
        <v/>
      </c>
      <c r="H15" s="10">
        <f>F15/C15</f>
        <v/>
      </c>
    </row>
    <row r="16">
      <c r="A16" s="8">
        <f>SVT20!A15</f>
        <v/>
      </c>
      <c r="B16" s="7">
        <f>SVT20!B15</f>
        <v/>
      </c>
      <c r="C16" s="7">
        <f>SVT20!L15</f>
        <v/>
      </c>
      <c r="D16" s="9">
        <f>SVT20!M15</f>
        <v/>
      </c>
      <c r="E16" s="7">
        <f>LVT20!B15</f>
        <v/>
      </c>
      <c r="F16" s="7">
        <f>LVT20!L15</f>
        <v/>
      </c>
      <c r="G16" s="9">
        <f>LVT20!M15</f>
        <v/>
      </c>
      <c r="H16" s="10">
        <f>F16/C16</f>
        <v/>
      </c>
    </row>
    <row r="17">
      <c r="A17" s="8">
        <f>SVT20!A16</f>
        <v/>
      </c>
      <c r="B17" s="7">
        <f>SVT20!B16</f>
        <v/>
      </c>
      <c r="C17" s="7">
        <f>SVT20!L16</f>
        <v/>
      </c>
      <c r="D17" s="9">
        <f>SVT20!M16</f>
        <v/>
      </c>
      <c r="E17" s="7">
        <f>LVT20!B16</f>
        <v/>
      </c>
      <c r="F17" s="7">
        <f>LVT20!L16</f>
        <v/>
      </c>
      <c r="G17" s="9">
        <f>LVT20!M16</f>
        <v/>
      </c>
      <c r="H17" s="10">
        <f>F17/C17</f>
        <v/>
      </c>
    </row>
    <row r="18">
      <c r="A18" s="8">
        <f>SVT20!A17</f>
        <v/>
      </c>
      <c r="B18" s="7">
        <f>SVT20!B17</f>
        <v/>
      </c>
      <c r="C18" s="7">
        <f>SVT20!L17</f>
        <v/>
      </c>
      <c r="D18" s="9">
        <f>SVT20!M17</f>
        <v/>
      </c>
      <c r="E18" s="7">
        <f>LVT20!B17</f>
        <v/>
      </c>
      <c r="F18" s="7">
        <f>LVT20!L17</f>
        <v/>
      </c>
      <c r="G18" s="9">
        <f>LVT20!M17</f>
        <v/>
      </c>
      <c r="H18" s="10">
        <f>F18/C18</f>
        <v/>
      </c>
    </row>
    <row r="19">
      <c r="A19" s="8">
        <f>SVT20!A18</f>
        <v/>
      </c>
      <c r="B19" s="7">
        <f>SVT20!B18</f>
        <v/>
      </c>
      <c r="C19" s="7">
        <f>SVT20!L18</f>
        <v/>
      </c>
      <c r="D19" s="9">
        <f>SVT20!M18</f>
        <v/>
      </c>
      <c r="E19" s="7">
        <f>LVT20!B18</f>
        <v/>
      </c>
      <c r="F19" s="7">
        <f>LVT20!L18</f>
        <v/>
      </c>
      <c r="G19" s="9">
        <f>LVT20!M18</f>
        <v/>
      </c>
      <c r="H19" s="10">
        <f>F19/C19</f>
        <v/>
      </c>
    </row>
    <row r="20">
      <c r="A20" s="8">
        <f>SVT20!A19</f>
        <v/>
      </c>
      <c r="B20" s="7">
        <f>SVT20!B19</f>
        <v/>
      </c>
      <c r="C20" s="7">
        <f>SVT20!L19</f>
        <v/>
      </c>
      <c r="D20" s="9">
        <f>SVT20!M19</f>
        <v/>
      </c>
      <c r="E20" s="7">
        <f>LVT20!B19</f>
        <v/>
      </c>
      <c r="F20" s="7">
        <f>LVT20!L19</f>
        <v/>
      </c>
      <c r="G20" s="9">
        <f>LVT20!M19</f>
        <v/>
      </c>
      <c r="H20" s="10">
        <f>F20/C20</f>
        <v/>
      </c>
    </row>
    <row r="21">
      <c r="A21" s="8">
        <f>SVT20!A20</f>
        <v/>
      </c>
      <c r="B21" s="7">
        <f>SVT20!B20</f>
        <v/>
      </c>
      <c r="C21" s="7">
        <f>SVT20!L20</f>
        <v/>
      </c>
      <c r="D21" s="9">
        <f>SVT20!M20</f>
        <v/>
      </c>
      <c r="E21" s="7">
        <f>LVT20!B20</f>
        <v/>
      </c>
      <c r="F21" s="7">
        <f>LVT20!L20</f>
        <v/>
      </c>
      <c r="G21" s="9">
        <f>LVT20!M20</f>
        <v/>
      </c>
      <c r="H21" s="10">
        <f>F21/C21</f>
        <v/>
      </c>
    </row>
    <row r="22">
      <c r="A22" s="8">
        <f>SVT20!A21</f>
        <v/>
      </c>
      <c r="B22" s="7">
        <f>SVT20!B21</f>
        <v/>
      </c>
      <c r="C22" s="7">
        <f>SVT20!L21</f>
        <v/>
      </c>
      <c r="D22" s="9">
        <f>SVT20!M21</f>
        <v/>
      </c>
      <c r="E22" s="7">
        <f>LVT20!B21</f>
        <v/>
      </c>
      <c r="F22" s="7">
        <f>LVT20!L21</f>
        <v/>
      </c>
      <c r="G22" s="9">
        <f>LVT20!M21</f>
        <v/>
      </c>
      <c r="H22" s="10">
        <f>F22/C22</f>
        <v/>
      </c>
    </row>
    <row r="23">
      <c r="A23" s="8">
        <f>SVT20!A22</f>
        <v/>
      </c>
      <c r="B23" s="7">
        <f>SVT20!B22</f>
        <v/>
      </c>
      <c r="C23" s="7">
        <f>SVT20!L22</f>
        <v/>
      </c>
      <c r="D23" s="9">
        <f>SVT20!M22</f>
        <v/>
      </c>
      <c r="E23" s="7">
        <f>LVT20!B22</f>
        <v/>
      </c>
      <c r="F23" s="7">
        <f>LVT20!L22</f>
        <v/>
      </c>
      <c r="G23" s="9">
        <f>LVT20!M22</f>
        <v/>
      </c>
      <c r="H23" s="10">
        <f>F23/C23</f>
        <v/>
      </c>
    </row>
    <row r="24">
      <c r="A24" s="8">
        <f>SVT20!A23</f>
        <v/>
      </c>
      <c r="B24" s="7">
        <f>SVT20!B23</f>
        <v/>
      </c>
      <c r="C24" s="7">
        <f>SVT20!L23</f>
        <v/>
      </c>
      <c r="D24" s="9">
        <f>SVT20!M23</f>
        <v/>
      </c>
      <c r="E24" s="7">
        <f>LVT20!B23</f>
        <v/>
      </c>
      <c r="F24" s="7">
        <f>LVT20!L23</f>
        <v/>
      </c>
      <c r="G24" s="9">
        <f>LVT20!M23</f>
        <v/>
      </c>
      <c r="H24" s="10">
        <f>F24/C24</f>
        <v/>
      </c>
    </row>
    <row r="25"/>
    <row r="26">
      <c r="A26" s="2" t="inlineStr">
        <is>
          <t>Each row pairs the two libraries at the same multiple of their own clk_period_min.</t>
        </is>
      </c>
    </row>
  </sheetData>
  <pageMargins bottom="1" footer="0.5" header="0.5" left="0.75" right="0.75" top="1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32"/>
  <sheetViews>
    <sheetView workbookViewId="0">
      <pane activePane="bottomLeft" state="frozen" topLeftCell="A8" ySplit="7"/>
      <selection activeCell="A1" pane="bottomLeft" sqref="A1"/>
    </sheetView>
  </sheetViews>
  <sheetFormatPr baseColWidth="8" defaultRowHeight="15"/>
  <cols>
    <col customWidth="1" max="1" min="1" width="12"/>
    <col customWidth="1" max="2" min="2" width="11"/>
    <col customWidth="1" max="3" min="3" width="10"/>
    <col customWidth="1" max="4" min="4" width="10"/>
    <col customWidth="1" max="5" min="5" width="11"/>
    <col customWidth="1" max="6" min="6" width="11"/>
    <col customWidth="1" max="7" min="7" width="11"/>
    <col customWidth="1" max="8" min="8" width="11"/>
    <col customWidth="1" max="9" min="9" width="12"/>
    <col customWidth="1" max="10" min="10" width="11"/>
    <col customWidth="1" max="11" min="11" width="12"/>
    <col customWidth="1" max="12" min="12" width="11"/>
    <col customWidth="1" max="13" min="13" width="10"/>
  </cols>
  <sheetData>
    <row r="1">
      <c r="A1" s="1" t="inlineStr">
        <is>
          <t>SVT20 energy sweep (mult, 16-bit multiplier)</t>
        </is>
      </c>
    </row>
    <row r="2">
      <c r="A2" s="2" t="inlineStr">
        <is>
          <t>Blue = values copied from DC reports / chosen by you. Black = formulas. Green row = minimum E_total.</t>
        </is>
      </c>
    </row>
    <row r="3"/>
    <row r="4">
      <c r="A4" s="11" t="inlineStr">
        <is>
          <t>clk_period_min (ns)</t>
        </is>
      </c>
      <c r="B4" s="12" t="n">
        <v>0.33</v>
      </c>
    </row>
    <row r="5">
      <c r="A5" s="11" t="inlineStr">
        <is>
          <t>Fmax (GHz)</t>
        </is>
      </c>
      <c r="B5" s="13">
        <f>1/B4</f>
        <v/>
      </c>
    </row>
    <row r="6"/>
    <row customHeight="1" ht="30" r="7">
      <c r="A7" s="3" t="inlineStr">
        <is>
          <t>Multiplier (x clk_min)</t>
        </is>
      </c>
      <c r="B7" s="3" t="inlineStr">
        <is>
          <t>clk_period (ns)</t>
        </is>
      </c>
      <c r="C7" s="3" t="inlineStr">
        <is>
          <t>Worst slack (ns)</t>
        </is>
      </c>
      <c r="D7" s="3" t="inlineStr">
        <is>
          <t>Cell area</t>
        </is>
      </c>
      <c r="E7" s="3" t="inlineStr">
        <is>
          <t>Switch (mW)</t>
        </is>
      </c>
      <c r="F7" s="3" t="inlineStr">
        <is>
          <t>Int (mW)</t>
        </is>
      </c>
      <c r="G7" s="3" t="inlineStr">
        <is>
          <t>Leak (nW)</t>
        </is>
      </c>
      <c r="H7" s="3" t="inlineStr">
        <is>
          <t>P_Dyn (mW)</t>
        </is>
      </c>
      <c r="I7" s="3" t="inlineStr">
        <is>
          <t>P_Leak (mW)</t>
        </is>
      </c>
      <c r="J7" s="3" t="inlineStr">
        <is>
          <t>E_Dyn (pJ)</t>
        </is>
      </c>
      <c r="K7" s="3" t="inlineStr">
        <is>
          <t>E_Leak (pJ)</t>
        </is>
      </c>
      <c r="L7" s="3" t="inlineStr">
        <is>
          <t>E_total (pJ)</t>
        </is>
      </c>
      <c r="M7" s="3" t="inlineStr">
        <is>
          <t>Leakage share</t>
        </is>
      </c>
    </row>
    <row r="8">
      <c r="A8" s="10">
        <f>B8/$B$4</f>
        <v/>
      </c>
      <c r="B8" s="14" t="n">
        <v>0.33</v>
      </c>
      <c r="C8" s="15" t="n">
        <v>0</v>
      </c>
      <c r="D8" s="15" t="n">
        <v>525.7095</v>
      </c>
      <c r="E8" s="16" t="n">
        <v>0.913</v>
      </c>
      <c r="F8" s="16" t="n">
        <v>1.883</v>
      </c>
      <c r="G8" s="17" t="n">
        <v>1070</v>
      </c>
      <c r="H8" s="18">
        <f>E8+F8</f>
        <v/>
      </c>
      <c r="I8" s="19">
        <f>G8/1000000</f>
        <v/>
      </c>
      <c r="J8" s="18">
        <f>H8*B8</f>
        <v/>
      </c>
      <c r="K8" s="19">
        <f>I8*B8</f>
        <v/>
      </c>
      <c r="L8" s="18">
        <f>J8+K8</f>
        <v/>
      </c>
      <c r="M8" s="20">
        <f>K8/L8</f>
        <v/>
      </c>
    </row>
    <row r="9">
      <c r="A9" s="10">
        <f>B9/$B$4</f>
        <v/>
      </c>
      <c r="B9" s="14" t="n">
        <v>0.3465</v>
      </c>
      <c r="C9" s="15" t="n">
        <v>0</v>
      </c>
      <c r="D9" s="15" t="n">
        <v>439.9661</v>
      </c>
      <c r="E9" s="16" t="n">
        <v>0.725</v>
      </c>
      <c r="F9" s="16" t="n">
        <v>1.451</v>
      </c>
      <c r="G9" s="17" t="n">
        <v>775.288</v>
      </c>
      <c r="H9" s="18">
        <f>E9+F9</f>
        <v/>
      </c>
      <c r="I9" s="19">
        <f>G9/1000000</f>
        <v/>
      </c>
      <c r="J9" s="18">
        <f>H9*B9</f>
        <v/>
      </c>
      <c r="K9" s="19">
        <f>I9*B9</f>
        <v/>
      </c>
      <c r="L9" s="18">
        <f>J9+K9</f>
        <v/>
      </c>
      <c r="M9" s="20">
        <f>K9/L9</f>
        <v/>
      </c>
    </row>
    <row r="10">
      <c r="A10" s="10">
        <f>B10/$B$4</f>
        <v/>
      </c>
      <c r="B10" s="14" t="n">
        <v>0.363</v>
      </c>
      <c r="C10" s="15" t="n">
        <v>0</v>
      </c>
      <c r="D10" s="15" t="n">
        <v>407.5661</v>
      </c>
      <c r="E10" s="16" t="n">
        <v>0.656</v>
      </c>
      <c r="F10" s="16" t="n">
        <v>1.259</v>
      </c>
      <c r="G10" s="17" t="n">
        <v>675.0700000000001</v>
      </c>
      <c r="H10" s="18">
        <f>E10+F10</f>
        <v/>
      </c>
      <c r="I10" s="19">
        <f>G10/1000000</f>
        <v/>
      </c>
      <c r="J10" s="18">
        <f>H10*B10</f>
        <v/>
      </c>
      <c r="K10" s="19">
        <f>I10*B10</f>
        <v/>
      </c>
      <c r="L10" s="18">
        <f>J10+K10</f>
        <v/>
      </c>
      <c r="M10" s="20">
        <f>K10/L10</f>
        <v/>
      </c>
    </row>
    <row r="11">
      <c r="A11" s="10">
        <f>B11/$B$4</f>
        <v/>
      </c>
      <c r="B11" s="14" t="n">
        <v>0.3795</v>
      </c>
      <c r="C11" s="15" t="n">
        <v>0</v>
      </c>
      <c r="D11" s="15" t="n">
        <v>380.5056</v>
      </c>
      <c r="E11" s="16" t="n">
        <v>0.583</v>
      </c>
      <c r="F11" s="16" t="n">
        <v>1.101</v>
      </c>
      <c r="G11" s="17" t="n">
        <v>582.668</v>
      </c>
      <c r="H11" s="18">
        <f>E11+F11</f>
        <v/>
      </c>
      <c r="I11" s="19">
        <f>G11/1000000</f>
        <v/>
      </c>
      <c r="J11" s="18">
        <f>H11*B11</f>
        <v/>
      </c>
      <c r="K11" s="19">
        <f>I11*B11</f>
        <v/>
      </c>
      <c r="L11" s="18">
        <f>J11+K11</f>
        <v/>
      </c>
      <c r="M11" s="20">
        <f>K11/L11</f>
        <v/>
      </c>
    </row>
    <row r="12">
      <c r="A12" s="10">
        <f>B12/$B$4</f>
        <v/>
      </c>
      <c r="B12" s="14" t="n">
        <v>0.396</v>
      </c>
      <c r="C12" s="15" t="n">
        <v>0</v>
      </c>
      <c r="D12" s="15" t="n">
        <v>371.7965</v>
      </c>
      <c r="E12" s="16" t="n">
        <v>0.553</v>
      </c>
      <c r="F12" s="16" t="n">
        <v>1.036</v>
      </c>
      <c r="G12" s="17" t="n">
        <v>556.4829999999999</v>
      </c>
      <c r="H12" s="18">
        <f>E12+F12</f>
        <v/>
      </c>
      <c r="I12" s="19">
        <f>G12/1000000</f>
        <v/>
      </c>
      <c r="J12" s="18">
        <f>H12*B12</f>
        <v/>
      </c>
      <c r="K12" s="19">
        <f>I12*B12</f>
        <v/>
      </c>
      <c r="L12" s="18">
        <f>J12+K12</f>
        <v/>
      </c>
      <c r="M12" s="20">
        <f>K12/L12</f>
        <v/>
      </c>
    </row>
    <row r="13">
      <c r="A13" s="10">
        <f>B13/$B$4</f>
        <v/>
      </c>
      <c r="B13" s="14" t="n">
        <v>0.4125</v>
      </c>
      <c r="C13" s="15" t="n">
        <v>0</v>
      </c>
      <c r="D13" s="15" t="n">
        <v>365.5757</v>
      </c>
      <c r="E13" s="16" t="n">
        <v>0.517</v>
      </c>
      <c r="F13" s="16" t="n">
        <v>0.974</v>
      </c>
      <c r="G13" s="17" t="n">
        <v>533.5309999999999</v>
      </c>
      <c r="H13" s="18">
        <f>E13+F13</f>
        <v/>
      </c>
      <c r="I13" s="19">
        <f>G13/1000000</f>
        <v/>
      </c>
      <c r="J13" s="18">
        <f>H13*B13</f>
        <v/>
      </c>
      <c r="K13" s="19">
        <f>I13*B13</f>
        <v/>
      </c>
      <c r="L13" s="18">
        <f>J13+K13</f>
        <v/>
      </c>
      <c r="M13" s="20">
        <f>K13/L13</f>
        <v/>
      </c>
    </row>
    <row r="14">
      <c r="A14" s="10">
        <f>B14/$B$4</f>
        <v/>
      </c>
      <c r="B14" s="14" t="n">
        <v>0.429</v>
      </c>
      <c r="C14" s="15" t="n">
        <v>0</v>
      </c>
      <c r="D14" s="15" t="n">
        <v>359.5104</v>
      </c>
      <c r="E14" s="16" t="n">
        <v>0.478</v>
      </c>
      <c r="F14" s="16" t="n">
        <v>0.931</v>
      </c>
      <c r="G14" s="17" t="n">
        <v>527.784</v>
      </c>
      <c r="H14" s="18">
        <f>E14+F14</f>
        <v/>
      </c>
      <c r="I14" s="19">
        <f>G14/1000000</f>
        <v/>
      </c>
      <c r="J14" s="18">
        <f>H14*B14</f>
        <v/>
      </c>
      <c r="K14" s="19">
        <f>I14*B14</f>
        <v/>
      </c>
      <c r="L14" s="18">
        <f>J14+K14</f>
        <v/>
      </c>
      <c r="M14" s="20">
        <f>K14/L14</f>
        <v/>
      </c>
    </row>
    <row r="15">
      <c r="A15" s="10">
        <f>B15/$B$4</f>
        <v/>
      </c>
      <c r="B15" s="14" t="n">
        <v>0.462</v>
      </c>
      <c r="C15" s="15" t="n">
        <v>0</v>
      </c>
      <c r="D15" s="15" t="n">
        <v>355.5187</v>
      </c>
      <c r="E15" s="16" t="n">
        <v>0.437</v>
      </c>
      <c r="F15" s="16" t="n">
        <v>0.858</v>
      </c>
      <c r="G15" s="17" t="n">
        <v>521.473</v>
      </c>
      <c r="H15" s="18">
        <f>E15+F15</f>
        <v/>
      </c>
      <c r="I15" s="19">
        <f>G15/1000000</f>
        <v/>
      </c>
      <c r="J15" s="18">
        <f>H15*B15</f>
        <v/>
      </c>
      <c r="K15" s="19">
        <f>I15*B15</f>
        <v/>
      </c>
      <c r="L15" s="18">
        <f>J15+K15</f>
        <v/>
      </c>
      <c r="M15" s="20">
        <f>K15/L15</f>
        <v/>
      </c>
    </row>
    <row r="16">
      <c r="A16" s="10">
        <f>B16/$B$4</f>
        <v/>
      </c>
      <c r="B16" s="14" t="n">
        <v>0.495</v>
      </c>
      <c r="C16" s="15" t="n">
        <v>0</v>
      </c>
      <c r="D16" s="15" t="n">
        <v>356.089</v>
      </c>
      <c r="E16" s="16" t="n">
        <v>0.412</v>
      </c>
      <c r="F16" s="16" t="n">
        <v>0.803</v>
      </c>
      <c r="G16" s="17" t="n">
        <v>522.946</v>
      </c>
      <c r="H16" s="18">
        <f>E16+F16</f>
        <v/>
      </c>
      <c r="I16" s="19">
        <f>G16/1000000</f>
        <v/>
      </c>
      <c r="J16" s="18">
        <f>H16*B16</f>
        <v/>
      </c>
      <c r="K16" s="19">
        <f>I16*B16</f>
        <v/>
      </c>
      <c r="L16" s="18">
        <f>J16+K16</f>
        <v/>
      </c>
      <c r="M16" s="20">
        <f>K16/L16</f>
        <v/>
      </c>
    </row>
    <row r="17">
      <c r="A17" s="10">
        <f>B17/$B$4</f>
        <v/>
      </c>
      <c r="B17" s="14" t="n">
        <v>0.5775</v>
      </c>
      <c r="C17" s="15" t="n">
        <v>0</v>
      </c>
      <c r="D17" s="15" t="n">
        <v>352.1491</v>
      </c>
      <c r="E17" s="16" t="n">
        <v>0.348</v>
      </c>
      <c r="F17" s="16" t="n">
        <v>0.6879999999999999</v>
      </c>
      <c r="G17" s="17" t="n">
        <v>517.909</v>
      </c>
      <c r="H17" s="18">
        <f>E17+F17</f>
        <v/>
      </c>
      <c r="I17" s="19">
        <f>G17/1000000</f>
        <v/>
      </c>
      <c r="J17" s="18">
        <f>H17*B17</f>
        <v/>
      </c>
      <c r="K17" s="19">
        <f>I17*B17</f>
        <v/>
      </c>
      <c r="L17" s="18">
        <f>J17+K17</f>
        <v/>
      </c>
      <c r="M17" s="20">
        <f>K17/L17</f>
        <v/>
      </c>
    </row>
    <row r="18">
      <c r="A18" s="10">
        <f>B18/$B$4</f>
        <v/>
      </c>
      <c r="B18" s="14" t="n">
        <v>0.66</v>
      </c>
      <c r="C18" s="15" t="n">
        <v>0</v>
      </c>
      <c r="D18" s="15" t="n">
        <v>348.1574</v>
      </c>
      <c r="E18" s="16" t="n">
        <v>0.294</v>
      </c>
      <c r="F18" s="16" t="n">
        <v>0.597</v>
      </c>
      <c r="G18" s="17" t="n">
        <v>510.992</v>
      </c>
      <c r="H18" s="18">
        <f>E18+F18</f>
        <v/>
      </c>
      <c r="I18" s="19">
        <f>G18/1000000</f>
        <v/>
      </c>
      <c r="J18" s="18">
        <f>H18*B18</f>
        <v/>
      </c>
      <c r="K18" s="19">
        <f>I18*B18</f>
        <v/>
      </c>
      <c r="L18" s="18">
        <f>J18+K18</f>
        <v/>
      </c>
      <c r="M18" s="20">
        <f>K18/L18</f>
        <v/>
      </c>
    </row>
    <row r="19">
      <c r="A19" s="10">
        <f>B19/$B$4</f>
        <v/>
      </c>
      <c r="B19" s="14" t="n">
        <v>0.99</v>
      </c>
      <c r="C19" s="15" t="n">
        <v>0</v>
      </c>
      <c r="D19" s="15" t="n">
        <v>327.4214</v>
      </c>
      <c r="E19" s="16" t="n">
        <v>0.196</v>
      </c>
      <c r="F19" s="16" t="n">
        <v>0.379</v>
      </c>
      <c r="G19" s="17" t="n">
        <v>403.321</v>
      </c>
      <c r="H19" s="18">
        <f>E19+F19</f>
        <v/>
      </c>
      <c r="I19" s="19">
        <f>G19/1000000</f>
        <v/>
      </c>
      <c r="J19" s="18">
        <f>H19*B19</f>
        <v/>
      </c>
      <c r="K19" s="19">
        <f>I19*B19</f>
        <v/>
      </c>
      <c r="L19" s="18">
        <f>J19+K19</f>
        <v/>
      </c>
      <c r="M19" s="20">
        <f>K19/L19</f>
        <v/>
      </c>
    </row>
    <row r="20">
      <c r="A20" s="10">
        <f>B20/$B$4</f>
        <v/>
      </c>
      <c r="B20" s="14" t="n">
        <v>1.65</v>
      </c>
      <c r="C20" s="15" t="n">
        <v>0.51</v>
      </c>
      <c r="D20" s="15" t="n">
        <v>317.9866</v>
      </c>
      <c r="E20" s="16" t="n">
        <v>0.109</v>
      </c>
      <c r="F20" s="16" t="n">
        <v>0.208</v>
      </c>
      <c r="G20" s="17" t="n">
        <v>367.875</v>
      </c>
      <c r="H20" s="18">
        <f>E20+F20</f>
        <v/>
      </c>
      <c r="I20" s="19">
        <f>G20/1000000</f>
        <v/>
      </c>
      <c r="J20" s="18">
        <f>H20*B20</f>
        <v/>
      </c>
      <c r="K20" s="19">
        <f>I20*B20</f>
        <v/>
      </c>
      <c r="L20" s="18">
        <f>J20+K20</f>
        <v/>
      </c>
      <c r="M20" s="20">
        <f>K20/L20</f>
        <v/>
      </c>
    </row>
    <row r="21">
      <c r="A21" s="10">
        <f>B21/$B$4</f>
        <v/>
      </c>
      <c r="B21" s="14" t="n">
        <v>3.3</v>
      </c>
      <c r="C21" s="15" t="n">
        <v>2.16</v>
      </c>
      <c r="D21" s="15" t="n">
        <v>318.1939</v>
      </c>
      <c r="E21" s="16" t="n">
        <v>0.055</v>
      </c>
      <c r="F21" s="16" t="n">
        <v>0.103</v>
      </c>
      <c r="G21" s="17" t="n">
        <v>360.637</v>
      </c>
      <c r="H21" s="18">
        <f>E21+F21</f>
        <v/>
      </c>
      <c r="I21" s="19">
        <f>G21/1000000</f>
        <v/>
      </c>
      <c r="J21" s="18">
        <f>H21*B21</f>
        <v/>
      </c>
      <c r="K21" s="19">
        <f>I21*B21</f>
        <v/>
      </c>
      <c r="L21" s="18">
        <f>J21+K21</f>
        <v/>
      </c>
      <c r="M21" s="20">
        <f>K21/L21</f>
        <v/>
      </c>
    </row>
    <row r="22">
      <c r="A22" s="10">
        <f>B22/$B$4</f>
        <v/>
      </c>
      <c r="B22" s="14" t="n">
        <v>33</v>
      </c>
      <c r="C22" s="15" t="n">
        <v>31.86</v>
      </c>
      <c r="D22" s="15" t="n">
        <v>318.1939</v>
      </c>
      <c r="E22" s="16" t="n">
        <v>0.0055</v>
      </c>
      <c r="F22" s="16" t="n">
        <v>0.0103</v>
      </c>
      <c r="G22" s="17" t="n">
        <v>360.637</v>
      </c>
      <c r="H22" s="18">
        <f>E22+F22</f>
        <v/>
      </c>
      <c r="I22" s="19">
        <f>G22/1000000</f>
        <v/>
      </c>
      <c r="J22" s="18">
        <f>H22*B22</f>
        <v/>
      </c>
      <c r="K22" s="19">
        <f>I22*B22</f>
        <v/>
      </c>
      <c r="L22" s="18">
        <f>J22+K22</f>
        <v/>
      </c>
      <c r="M22" s="20">
        <f>K22/L22</f>
        <v/>
      </c>
    </row>
    <row r="23">
      <c r="A23" s="10">
        <f>B23/$B$4</f>
        <v/>
      </c>
      <c r="B23" s="14" t="n">
        <v>330</v>
      </c>
      <c r="C23" s="15" t="n">
        <v>328.87</v>
      </c>
      <c r="D23" s="15" t="n">
        <v>318.1939</v>
      </c>
      <c r="E23" s="16" t="n">
        <v>0.00055</v>
      </c>
      <c r="F23" s="16" t="n">
        <v>0.00103</v>
      </c>
      <c r="G23" s="17" t="n">
        <v>360.637</v>
      </c>
      <c r="H23" s="18">
        <f>E23+F23</f>
        <v/>
      </c>
      <c r="I23" s="19">
        <f>G23/1000000</f>
        <v/>
      </c>
      <c r="J23" s="18">
        <f>H23*B23</f>
        <v/>
      </c>
      <c r="K23" s="19">
        <f>I23*B23</f>
        <v/>
      </c>
      <c r="L23" s="18">
        <f>J23+K23</f>
        <v/>
      </c>
      <c r="M23" s="20">
        <f>K23/L23</f>
        <v/>
      </c>
    </row>
    <row r="24"/>
    <row r="25">
      <c r="A25" s="11" t="inlineStr">
        <is>
          <t>Min E_total (pJ)</t>
        </is>
      </c>
      <c r="B25" s="21">
        <f>MIN(L8:L23)</f>
        <v/>
      </c>
    </row>
    <row r="26">
      <c r="A26" s="11" t="inlineStr">
        <is>
          <t>at clk_period (ns)</t>
        </is>
      </c>
      <c r="B26" s="21">
        <f>INDEX(B8:B23,MATCH(B25,L8:L23,0))</f>
        <v/>
      </c>
    </row>
    <row r="27">
      <c r="A27" s="11" t="inlineStr">
        <is>
          <t>at multiplier</t>
        </is>
      </c>
      <c r="B27" s="22">
        <f>INDEX(A8:A23,MATCH(B25,L8:L23,0))</f>
        <v/>
      </c>
    </row>
    <row r="28"/>
    <row r="29">
      <c r="A29" s="2" t="inlineStr">
        <is>
          <t>Units from the DC power report header: Switch/Int in mW, Leak in nW. Time in ns.</t>
        </is>
      </c>
    </row>
    <row r="30">
      <c r="A30" s="2" t="inlineStr">
        <is>
          <t>P_Dyn = Switch + Int;  P_Leak = Leak / 1e6;  E = P x clk_period (mW x ns = pJ);  E_total = E_Dyn + E_Leak.</t>
        </is>
      </c>
    </row>
    <row r="31">
      <c r="A31" s="2" t="inlineStr">
        <is>
          <t>Cell area is in the library's area unit (um^2 for the N16 standard cells), from report_area.</t>
        </is>
      </c>
    </row>
    <row r="32">
      <c r="A32" s="2" t="inlineStr">
        <is>
          <t>Source: synthesis/lab2/reports/SVT20/mult.&lt;clk&gt;.SVT20.syn_power.rpt, _timing.rpt, _area.rpt (DC V-2023.12-SP5, tt0p8v25c).</t>
        </is>
      </c>
    </row>
  </sheetData>
  <conditionalFormatting sqref="A8:M23">
    <cfRule dxfId="0" priority="1" type="expression">
      <formula>$L8=MIN($L$8:$L$23)</formula>
    </cfRule>
  </conditionalFormatting>
  <pageMargins bottom="1" footer="0.5" header="0.5" left="0.75" right="0.75" top="1"/>
  <drawing r:id="rId1"/>
  <legacyDrawing r:id="anysvml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32"/>
  <sheetViews>
    <sheetView workbookViewId="0">
      <pane activePane="bottomLeft" state="frozen" topLeftCell="A8" ySplit="7"/>
      <selection activeCell="A1" pane="bottomLeft" sqref="A1"/>
    </sheetView>
  </sheetViews>
  <sheetFormatPr baseColWidth="8" defaultRowHeight="15"/>
  <cols>
    <col customWidth="1" max="1" min="1" width="12"/>
    <col customWidth="1" max="2" min="2" width="11"/>
    <col customWidth="1" max="3" min="3" width="10"/>
    <col customWidth="1" max="4" min="4" width="10"/>
    <col customWidth="1" max="5" min="5" width="11"/>
    <col customWidth="1" max="6" min="6" width="11"/>
    <col customWidth="1" max="7" min="7" width="11"/>
    <col customWidth="1" max="8" min="8" width="11"/>
    <col customWidth="1" max="9" min="9" width="12"/>
    <col customWidth="1" max="10" min="10" width="11"/>
    <col customWidth="1" max="11" min="11" width="12"/>
    <col customWidth="1" max="12" min="12" width="11"/>
    <col customWidth="1" max="13" min="13" width="10"/>
  </cols>
  <sheetData>
    <row r="1">
      <c r="A1" s="1" t="inlineStr">
        <is>
          <t>LVT20 energy sweep (mult, 16-bit multiplier)</t>
        </is>
      </c>
    </row>
    <row r="2">
      <c r="A2" s="2" t="inlineStr">
        <is>
          <t>Blue = values copied from DC reports / chosen by you. Black = formulas. Green row = minimum E_total.</t>
        </is>
      </c>
    </row>
    <row r="3"/>
    <row r="4">
      <c r="A4" s="11" t="inlineStr">
        <is>
          <t>clk_period_min (ns)</t>
        </is>
      </c>
      <c r="B4" s="12" t="n">
        <v>0.244</v>
      </c>
    </row>
    <row r="5">
      <c r="A5" s="11" t="inlineStr">
        <is>
          <t>Fmax (GHz)</t>
        </is>
      </c>
      <c r="B5" s="13">
        <f>1/B4</f>
        <v/>
      </c>
    </row>
    <row r="6"/>
    <row customHeight="1" ht="30" r="7">
      <c r="A7" s="3" t="inlineStr">
        <is>
          <t>Multiplier (x clk_min)</t>
        </is>
      </c>
      <c r="B7" s="3" t="inlineStr">
        <is>
          <t>clk_period (ns)</t>
        </is>
      </c>
      <c r="C7" s="3" t="inlineStr">
        <is>
          <t>Worst slack (ns)</t>
        </is>
      </c>
      <c r="D7" s="3" t="inlineStr">
        <is>
          <t>Cell area</t>
        </is>
      </c>
      <c r="E7" s="3" t="inlineStr">
        <is>
          <t>Switch (mW)</t>
        </is>
      </c>
      <c r="F7" s="3" t="inlineStr">
        <is>
          <t>Int (mW)</t>
        </is>
      </c>
      <c r="G7" s="3" t="inlineStr">
        <is>
          <t>Leak (nW)</t>
        </is>
      </c>
      <c r="H7" s="3" t="inlineStr">
        <is>
          <t>P_Dyn (mW)</t>
        </is>
      </c>
      <c r="I7" s="3" t="inlineStr">
        <is>
          <t>P_Leak (mW)</t>
        </is>
      </c>
      <c r="J7" s="3" t="inlineStr">
        <is>
          <t>E_Dyn (pJ)</t>
        </is>
      </c>
      <c r="K7" s="3" t="inlineStr">
        <is>
          <t>E_Leak (pJ)</t>
        </is>
      </c>
      <c r="L7" s="3" t="inlineStr">
        <is>
          <t>E_total (pJ)</t>
        </is>
      </c>
      <c r="M7" s="3" t="inlineStr">
        <is>
          <t>Leakage share</t>
        </is>
      </c>
    </row>
    <row r="8">
      <c r="A8" s="10">
        <f>B8/$B$4</f>
        <v/>
      </c>
      <c r="B8" s="14" t="n">
        <v>0.244</v>
      </c>
      <c r="C8" s="15" t="n">
        <v>0</v>
      </c>
      <c r="D8" s="15" t="n">
        <v>525.2429</v>
      </c>
      <c r="E8" s="16" t="n">
        <v>1.349</v>
      </c>
      <c r="F8" s="16" t="n">
        <v>2.706</v>
      </c>
      <c r="G8" s="17" t="n">
        <v>13400</v>
      </c>
      <c r="H8" s="18">
        <f>E8+F8</f>
        <v/>
      </c>
      <c r="I8" s="19">
        <f>G8/1000000</f>
        <v/>
      </c>
      <c r="J8" s="18">
        <f>H8*B8</f>
        <v/>
      </c>
      <c r="K8" s="19">
        <f>I8*B8</f>
        <v/>
      </c>
      <c r="L8" s="18">
        <f>J8+K8</f>
        <v/>
      </c>
      <c r="M8" s="20">
        <f>K8/L8</f>
        <v/>
      </c>
    </row>
    <row r="9">
      <c r="A9" s="10">
        <f>B9/$B$4</f>
        <v/>
      </c>
      <c r="B9" s="14" t="n">
        <v>0.2562</v>
      </c>
      <c r="C9" s="15" t="n">
        <v>0</v>
      </c>
      <c r="D9" s="15" t="n">
        <v>462.8275</v>
      </c>
      <c r="E9" s="16" t="n">
        <v>1.088</v>
      </c>
      <c r="F9" s="16" t="n">
        <v>2.154</v>
      </c>
      <c r="G9" s="17" t="n">
        <v>10800</v>
      </c>
      <c r="H9" s="18">
        <f>E9+F9</f>
        <v/>
      </c>
      <c r="I9" s="19">
        <f>G9/1000000</f>
        <v/>
      </c>
      <c r="J9" s="18">
        <f>H9*B9</f>
        <v/>
      </c>
      <c r="K9" s="19">
        <f>I9*B9</f>
        <v/>
      </c>
      <c r="L9" s="18">
        <f>J9+K9</f>
        <v/>
      </c>
      <c r="M9" s="20">
        <f>K9/L9</f>
        <v/>
      </c>
    </row>
    <row r="10">
      <c r="A10" s="10">
        <f>B10/$B$4</f>
        <v/>
      </c>
      <c r="B10" s="14" t="n">
        <v>0.2684</v>
      </c>
      <c r="C10" s="15" t="n">
        <v>0</v>
      </c>
      <c r="D10" s="15" t="n">
        <v>412.6983</v>
      </c>
      <c r="E10" s="16" t="n">
        <v>0.922</v>
      </c>
      <c r="F10" s="16" t="n">
        <v>1.827</v>
      </c>
      <c r="G10" s="17" t="n">
        <v>8630</v>
      </c>
      <c r="H10" s="18">
        <f>E10+F10</f>
        <v/>
      </c>
      <c r="I10" s="19">
        <f>G10/1000000</f>
        <v/>
      </c>
      <c r="J10" s="18">
        <f>H10*B10</f>
        <v/>
      </c>
      <c r="K10" s="19">
        <f>I10*B10</f>
        <v/>
      </c>
      <c r="L10" s="18">
        <f>J10+K10</f>
        <v/>
      </c>
      <c r="M10" s="20">
        <f>K10/L10</f>
        <v/>
      </c>
    </row>
    <row r="11">
      <c r="A11" s="10">
        <f>B11/$B$4</f>
        <v/>
      </c>
      <c r="B11" s="14" t="n">
        <v>0.2806</v>
      </c>
      <c r="C11" s="15" t="n">
        <v>0</v>
      </c>
      <c r="D11" s="15" t="n">
        <v>391.2365</v>
      </c>
      <c r="E11" s="16" t="n">
        <v>0.858</v>
      </c>
      <c r="F11" s="16" t="n">
        <v>1.693</v>
      </c>
      <c r="G11" s="17" t="n">
        <v>7720</v>
      </c>
      <c r="H11" s="18">
        <f>E11+F11</f>
        <v/>
      </c>
      <c r="I11" s="19">
        <f>G11/1000000</f>
        <v/>
      </c>
      <c r="J11" s="18">
        <f>H11*B11</f>
        <v/>
      </c>
      <c r="K11" s="19">
        <f>I11*B11</f>
        <v/>
      </c>
      <c r="L11" s="18">
        <f>J11+K11</f>
        <v/>
      </c>
      <c r="M11" s="20">
        <f>K11/L11</f>
        <v/>
      </c>
    </row>
    <row r="12">
      <c r="A12" s="10">
        <f>B12/$B$4</f>
        <v/>
      </c>
      <c r="B12" s="14" t="n">
        <v>0.2928</v>
      </c>
      <c r="C12" s="15" t="n">
        <v>0</v>
      </c>
      <c r="D12" s="15" t="n">
        <v>377.7062</v>
      </c>
      <c r="E12" s="16" t="n">
        <v>0.801</v>
      </c>
      <c r="F12" s="16" t="n">
        <v>1.576</v>
      </c>
      <c r="G12" s="17" t="n">
        <v>7200</v>
      </c>
      <c r="H12" s="18">
        <f>E12+F12</f>
        <v/>
      </c>
      <c r="I12" s="19">
        <f>G12/1000000</f>
        <v/>
      </c>
      <c r="J12" s="18">
        <f>H12*B12</f>
        <v/>
      </c>
      <c r="K12" s="19">
        <f>I12*B12</f>
        <v/>
      </c>
      <c r="L12" s="18">
        <f>J12+K12</f>
        <v/>
      </c>
      <c r="M12" s="20">
        <f>K12/L12</f>
        <v/>
      </c>
    </row>
    <row r="13">
      <c r="A13" s="10">
        <f>B13/$B$4</f>
        <v/>
      </c>
      <c r="B13" s="14" t="n">
        <v>0.305</v>
      </c>
      <c r="C13" s="15" t="n">
        <v>0</v>
      </c>
      <c r="D13" s="15" t="n">
        <v>367.7011</v>
      </c>
      <c r="E13" s="16" t="n">
        <v>0.736</v>
      </c>
      <c r="F13" s="16" t="n">
        <v>1.484</v>
      </c>
      <c r="G13" s="17" t="n">
        <v>6750</v>
      </c>
      <c r="H13" s="18">
        <f>E13+F13</f>
        <v/>
      </c>
      <c r="I13" s="19">
        <f>G13/1000000</f>
        <v/>
      </c>
      <c r="J13" s="18">
        <f>H13*B13</f>
        <v/>
      </c>
      <c r="K13" s="19">
        <f>I13*B13</f>
        <v/>
      </c>
      <c r="L13" s="18">
        <f>J13+K13</f>
        <v/>
      </c>
      <c r="M13" s="20">
        <f>K13/L13</f>
        <v/>
      </c>
    </row>
    <row r="14">
      <c r="A14" s="10">
        <f>B14/$B$4</f>
        <v/>
      </c>
      <c r="B14" s="14" t="n">
        <v>0.3172</v>
      </c>
      <c r="C14" s="15" t="n">
        <v>0</v>
      </c>
      <c r="D14" s="15" t="n">
        <v>364.3834</v>
      </c>
      <c r="E14" s="16" t="n">
        <v>0.694</v>
      </c>
      <c r="F14" s="16" t="n">
        <v>1.415</v>
      </c>
      <c r="G14" s="17" t="n">
        <v>6600</v>
      </c>
      <c r="H14" s="18">
        <f>E14+F14</f>
        <v/>
      </c>
      <c r="I14" s="19">
        <f>G14/1000000</f>
        <v/>
      </c>
      <c r="J14" s="18">
        <f>H14*B14</f>
        <v/>
      </c>
      <c r="K14" s="19">
        <f>I14*B14</f>
        <v/>
      </c>
      <c r="L14" s="18">
        <f>J14+K14</f>
        <v/>
      </c>
      <c r="M14" s="20">
        <f>K14/L14</f>
        <v/>
      </c>
    </row>
    <row r="15">
      <c r="A15" s="10">
        <f>B15/$B$4</f>
        <v/>
      </c>
      <c r="B15" s="14" t="n">
        <v>0.3416</v>
      </c>
      <c r="C15" s="15" t="n">
        <v>0</v>
      </c>
      <c r="D15" s="15" t="n">
        <v>354.793</v>
      </c>
      <c r="E15" s="16" t="n">
        <v>0.609</v>
      </c>
      <c r="F15" s="16" t="n">
        <v>1.293</v>
      </c>
      <c r="G15" s="17" t="n">
        <v>6420</v>
      </c>
      <c r="H15" s="18">
        <f>E15+F15</f>
        <v/>
      </c>
      <c r="I15" s="19">
        <f>G15/1000000</f>
        <v/>
      </c>
      <c r="J15" s="18">
        <f>H15*B15</f>
        <v/>
      </c>
      <c r="K15" s="19">
        <f>I15*B15</f>
        <v/>
      </c>
      <c r="L15" s="18">
        <f>J15+K15</f>
        <v/>
      </c>
      <c r="M15" s="20">
        <f>K15/L15</f>
        <v/>
      </c>
    </row>
    <row r="16">
      <c r="A16" s="10">
        <f>B16/$B$4</f>
        <v/>
      </c>
      <c r="B16" s="14" t="n">
        <v>0.366</v>
      </c>
      <c r="C16" s="15" t="n">
        <v>0</v>
      </c>
      <c r="D16" s="15" t="n">
        <v>355.5187</v>
      </c>
      <c r="E16" s="16" t="n">
        <v>0.57</v>
      </c>
      <c r="F16" s="16" t="n">
        <v>1.215</v>
      </c>
      <c r="G16" s="17" t="n">
        <v>6490</v>
      </c>
      <c r="H16" s="18">
        <f>E16+F16</f>
        <v/>
      </c>
      <c r="I16" s="19">
        <f>G16/1000000</f>
        <v/>
      </c>
      <c r="J16" s="18">
        <f>H16*B16</f>
        <v/>
      </c>
      <c r="K16" s="19">
        <f>I16*B16</f>
        <v/>
      </c>
      <c r="L16" s="18">
        <f>J16+K16</f>
        <v/>
      </c>
      <c r="M16" s="20">
        <f>K16/L16</f>
        <v/>
      </c>
    </row>
    <row r="17">
      <c r="A17" s="10">
        <f>B17/$B$4</f>
        <v/>
      </c>
      <c r="B17" s="14" t="n">
        <v>0.427</v>
      </c>
      <c r="C17" s="15" t="n">
        <v>0</v>
      </c>
      <c r="D17" s="15" t="n">
        <v>352.6157</v>
      </c>
      <c r="E17" s="16" t="n">
        <v>0.477</v>
      </c>
      <c r="F17" s="16" t="n">
        <v>1.033</v>
      </c>
      <c r="G17" s="17" t="n">
        <v>6440</v>
      </c>
      <c r="H17" s="18">
        <f>E17+F17</f>
        <v/>
      </c>
      <c r="I17" s="19">
        <f>G17/1000000</f>
        <v/>
      </c>
      <c r="J17" s="18">
        <f>H17*B17</f>
        <v/>
      </c>
      <c r="K17" s="19">
        <f>I17*B17</f>
        <v/>
      </c>
      <c r="L17" s="18">
        <f>J17+K17</f>
        <v/>
      </c>
      <c r="M17" s="20">
        <f>K17/L17</f>
        <v/>
      </c>
    </row>
    <row r="18">
      <c r="A18" s="10">
        <f>B18/$B$4</f>
        <v/>
      </c>
      <c r="B18" s="14" t="n">
        <v>0.488</v>
      </c>
      <c r="C18" s="15" t="n">
        <v>0</v>
      </c>
      <c r="D18" s="15" t="n">
        <v>346.9133</v>
      </c>
      <c r="E18" s="16" t="n">
        <v>0.407</v>
      </c>
      <c r="F18" s="16" t="n">
        <v>0.896</v>
      </c>
      <c r="G18" s="17" t="n">
        <v>6300</v>
      </c>
      <c r="H18" s="18">
        <f>E18+F18</f>
        <v/>
      </c>
      <c r="I18" s="19">
        <f>G18/1000000</f>
        <v/>
      </c>
      <c r="J18" s="18">
        <f>H18*B18</f>
        <v/>
      </c>
      <c r="K18" s="19">
        <f>I18*B18</f>
        <v/>
      </c>
      <c r="L18" s="18">
        <f>J18+K18</f>
        <v/>
      </c>
      <c r="M18" s="20">
        <f>K18/L18</f>
        <v/>
      </c>
    </row>
    <row r="19">
      <c r="A19" s="10">
        <f>B19/$B$4</f>
        <v/>
      </c>
      <c r="B19" s="14" t="n">
        <v>0.732</v>
      </c>
      <c r="C19" s="15" t="n">
        <v>0</v>
      </c>
      <c r="D19" s="15" t="n">
        <v>320.112</v>
      </c>
      <c r="E19" s="16" t="n">
        <v>0.27</v>
      </c>
      <c r="F19" s="16" t="n">
        <v>0.587</v>
      </c>
      <c r="G19" s="17" t="n">
        <v>5260</v>
      </c>
      <c r="H19" s="18">
        <f>E19+F19</f>
        <v/>
      </c>
      <c r="I19" s="19">
        <f>G19/1000000</f>
        <v/>
      </c>
      <c r="J19" s="18">
        <f>H19*B19</f>
        <v/>
      </c>
      <c r="K19" s="19">
        <f>I19*B19</f>
        <v/>
      </c>
      <c r="L19" s="18">
        <f>J19+K19</f>
        <v/>
      </c>
      <c r="M19" s="20">
        <f>K19/L19</f>
        <v/>
      </c>
    </row>
    <row r="20">
      <c r="A20" s="10">
        <f>B20/$B$4</f>
        <v/>
      </c>
      <c r="B20" s="14" t="n">
        <v>1.22</v>
      </c>
      <c r="C20" s="15" t="n">
        <v>0.38</v>
      </c>
      <c r="D20" s="15" t="n">
        <v>310.4698</v>
      </c>
      <c r="E20" s="16" t="n">
        <v>0.151</v>
      </c>
      <c r="F20" s="16" t="n">
        <v>0.312</v>
      </c>
      <c r="G20" s="17" t="n">
        <v>4740</v>
      </c>
      <c r="H20" s="18">
        <f>E20+F20</f>
        <v/>
      </c>
      <c r="I20" s="19">
        <f>G20/1000000</f>
        <v/>
      </c>
      <c r="J20" s="18">
        <f>H20*B20</f>
        <v/>
      </c>
      <c r="K20" s="19">
        <f>I20*B20</f>
        <v/>
      </c>
      <c r="L20" s="18">
        <f>J20+K20</f>
        <v/>
      </c>
      <c r="M20" s="20">
        <f>K20/L20</f>
        <v/>
      </c>
    </row>
    <row r="21">
      <c r="A21" s="10">
        <f>B21/$B$4</f>
        <v/>
      </c>
      <c r="B21" s="14" t="n">
        <v>2.44</v>
      </c>
      <c r="C21" s="15" t="n">
        <v>1.61</v>
      </c>
      <c r="D21" s="15" t="n">
        <v>310.729</v>
      </c>
      <c r="E21" s="16" t="n">
        <v>0.07489999999999999</v>
      </c>
      <c r="F21" s="16" t="n">
        <v>0.154</v>
      </c>
      <c r="G21" s="17" t="n">
        <v>4660</v>
      </c>
      <c r="H21" s="18">
        <f>E21+F21</f>
        <v/>
      </c>
      <c r="I21" s="19">
        <f>G21/1000000</f>
        <v/>
      </c>
      <c r="J21" s="18">
        <f>H21*B21</f>
        <v/>
      </c>
      <c r="K21" s="19">
        <f>I21*B21</f>
        <v/>
      </c>
      <c r="L21" s="18">
        <f>J21+K21</f>
        <v/>
      </c>
      <c r="M21" s="20">
        <f>K21/L21</f>
        <v/>
      </c>
    </row>
    <row r="22">
      <c r="A22" s="10">
        <f>B22/$B$4</f>
        <v/>
      </c>
      <c r="B22" s="14" t="n">
        <v>24.4</v>
      </c>
      <c r="C22" s="15" t="n">
        <v>23.57</v>
      </c>
      <c r="D22" s="15" t="n">
        <v>310.729</v>
      </c>
      <c r="E22" s="16" t="n">
        <v>0.00748</v>
      </c>
      <c r="F22" s="16" t="n">
        <v>0.0154</v>
      </c>
      <c r="G22" s="17" t="n">
        <v>4660</v>
      </c>
      <c r="H22" s="18">
        <f>E22+F22</f>
        <v/>
      </c>
      <c r="I22" s="19">
        <f>G22/1000000</f>
        <v/>
      </c>
      <c r="J22" s="18">
        <f>H22*B22</f>
        <v/>
      </c>
      <c r="K22" s="19">
        <f>I22*B22</f>
        <v/>
      </c>
      <c r="L22" s="18">
        <f>J22+K22</f>
        <v/>
      </c>
      <c r="M22" s="20">
        <f>K22/L22</f>
        <v/>
      </c>
    </row>
    <row r="23">
      <c r="A23" s="10">
        <f>B23/$B$4</f>
        <v/>
      </c>
      <c r="B23" s="14" t="n">
        <v>244</v>
      </c>
      <c r="C23" s="15" t="n">
        <v>243.17</v>
      </c>
      <c r="D23" s="15" t="n">
        <v>310.729</v>
      </c>
      <c r="E23" s="16" t="n">
        <v>0.000748</v>
      </c>
      <c r="F23" s="16" t="n">
        <v>0.00154</v>
      </c>
      <c r="G23" s="17" t="n">
        <v>4660</v>
      </c>
      <c r="H23" s="18">
        <f>E23+F23</f>
        <v/>
      </c>
      <c r="I23" s="19">
        <f>G23/1000000</f>
        <v/>
      </c>
      <c r="J23" s="18">
        <f>H23*B23</f>
        <v/>
      </c>
      <c r="K23" s="19">
        <f>I23*B23</f>
        <v/>
      </c>
      <c r="L23" s="18">
        <f>J23+K23</f>
        <v/>
      </c>
      <c r="M23" s="20">
        <f>K23/L23</f>
        <v/>
      </c>
    </row>
    <row r="24"/>
    <row r="25">
      <c r="A25" s="11" t="inlineStr">
        <is>
          <t>Min E_total (pJ)</t>
        </is>
      </c>
      <c r="B25" s="21">
        <f>MIN(L8:L23)</f>
        <v/>
      </c>
    </row>
    <row r="26">
      <c r="A26" s="11" t="inlineStr">
        <is>
          <t>at clk_period (ns)</t>
        </is>
      </c>
      <c r="B26" s="21">
        <f>INDEX(B8:B23,MATCH(B25,L8:L23,0))</f>
        <v/>
      </c>
    </row>
    <row r="27">
      <c r="A27" s="11" t="inlineStr">
        <is>
          <t>at multiplier</t>
        </is>
      </c>
      <c r="B27" s="22">
        <f>INDEX(A8:A23,MATCH(B25,L8:L23,0))</f>
        <v/>
      </c>
    </row>
    <row r="28"/>
    <row r="29">
      <c r="A29" s="2" t="inlineStr">
        <is>
          <t>Units from the DC power report header: Switch/Int in mW, Leak in nW. Time in ns.</t>
        </is>
      </c>
    </row>
    <row r="30">
      <c r="A30" s="2" t="inlineStr">
        <is>
          <t>P_Dyn = Switch + Int;  P_Leak = Leak / 1e6;  E = P x clk_period (mW x ns = pJ);  E_total = E_Dyn + E_Leak.</t>
        </is>
      </c>
    </row>
    <row r="31">
      <c r="A31" s="2" t="inlineStr">
        <is>
          <t>Cell area is in the library's area unit (um^2 for the N16 standard cells), from report_area.</t>
        </is>
      </c>
    </row>
    <row r="32">
      <c r="A32" s="2" t="inlineStr">
        <is>
          <t>Source: synthesis/lab2/reports/LVT20/mult.&lt;clk&gt;.LVT20.syn_power.rpt, _timing.rpt, _area.rpt (DC V-2023.12-SP5, tt0p8v25c).</t>
        </is>
      </c>
    </row>
  </sheetData>
  <conditionalFormatting sqref="A8:M23">
    <cfRule dxfId="0" priority="1" type="expression">
      <formula>$L8=MIN($L$8:$L$23)</formula>
    </cfRule>
  </conditionalFormatting>
  <pageMargins bottom="1" footer="0.5" header="0.5" left="0.75" right="0.75" top="1"/>
  <drawing r:id="rId1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2026-09-22T23:37:30Z</dcterms:created>
  <dcterms:modified xsi:type="dcterms:W3CDTF">2026-09-22T23:37:30Z</dcterms:modified>
</cp:coreProperties>
</file>